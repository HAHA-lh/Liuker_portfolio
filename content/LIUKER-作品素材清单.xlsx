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27b9d2c6e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清单" sheetId="1" r:id="R11f13a7bcf164cff"/>
    <x:sheet xmlns:r="http://schemas.openxmlformats.org/officeDocument/2006/relationships" name="使用说明" sheetId="2" r:id="R6da2dade60ad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1A28"/>
      <x:name val="Carlito"/>
    </x:font>
    <x:font>
      <x:b/>
      <x:sz val="10"/>
      <x:color rgb="FFFFFFFF"/>
      <x:name val="Carlito"/>
    </x:font>
    <x:font>
      <x:sz val="10"/>
      <x:color rgb="FF241D2E"/>
      <x:name val="Carlito"/>
    </x:font>
    <x:font>
      <x:b/>
      <x:sz val="22"/>
      <x:color rgb="FFFFFFFF"/>
      <x:name val="Carlito"/>
    </x:font>
    <x:font>
      <x:b/>
      <x:sz val="11"/>
      <x:color rgb="FFFFFFFF"/>
      <x:name val="Carlito"/>
    </x:font>
    <x:font>
      <x:sz val="11"/>
      <x:color rgb="FF241D2E"/>
      <x:name val="Carlito"/>
    </x:font>
    <x:font>
      <x:b/>
      <x:sz val="14"/>
      <x:color rgb="FF7A22D3"/>
      <x:name val="Carlito"/>
    </x:font>
    <x:font>
      <x:sz val="11"/>
      <x:color rgb="FF3A253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131F"/>
      </x:patternFill>
    </x:fill>
    <x:fill>
      <x:patternFill patternType="solid">
        <x:fgColor rgb="FFF7F4FA"/>
      </x:patternFill>
    </x:fill>
    <x:fill>
      <x:patternFill patternType="solid">
        <x:fgColor rgb="FFEF4D5B"/>
      </x:patternFill>
    </x:fill>
    <x:fill>
      <x:patternFill patternType="solid">
        <x:fgColor rgb="FF7A22D3"/>
      </x:patternFill>
    </x:fill>
    <x:fill>
      <x:patternFill patternType="solid">
        <x:fgColor rgb="FFF3ECFA"/>
      </x:patternFill>
    </x:fill>
    <x:fill>
      <x:patternFill patternType="solid">
        <x:fgColor rgb="FFFF7048"/>
      </x:patternFill>
    </x:fill>
    <x:fill>
      <x:patternFill patternType="solid">
        <x:fgColor rgb="FFFFF7F2"/>
      </x:patternFill>
    </x:fill>
  </x:fills>
  <x:borders count="28">
    <x:border/>
    <x:border/>
    <x:border>
      <x:left style="medium">
        <x:color rgb="FFFF5A49"/>
      </x:left>
      <x:top style="medium">
        <x:color rgb="FFFF5A49"/>
      </x:top>
      <x:bottom style="medium">
        <x:color rgb="FFFF5A49"/>
      </x:bottom>
    </x:border>
    <x:border>
      <x:top style="medium">
        <x:color rgb="FFFF5A49"/>
      </x:top>
      <x:bottom style="medium">
        <x:color rgb="FFFF5A49"/>
      </x:bottom>
    </x:border>
    <x:border>
      <x:right style="medium">
        <x:color rgb="FFFF5A49"/>
      </x:right>
      <x:top style="medium">
        <x:color rgb="FFFF5A49"/>
      </x:top>
      <x:bottom style="medium">
        <x:color rgb="FFFF5A49"/>
      </x:bottom>
    </x:border>
    <x:border>
      <x:left style="medium">
        <x:color rgb="FFFF5A49"/>
      </x:left>
      <x:top style="medium">
        <x:color rgb="FFFF5A49"/>
      </x:top>
      <x:bottom style="medium">
        <x:color rgb="FFFF5A49"/>
      </x:bottom>
    </x:border>
    <x:border>
      <x:top style="medium">
        <x:color rgb="FFFF5A49"/>
      </x:top>
      <x:bottom style="medium">
        <x:color rgb="FFFF5A49"/>
      </x:bottom>
    </x:border>
    <x:border>
      <x:right style="medium">
        <x:color rgb="FFFF5A49"/>
      </x:right>
      <x:top style="medium">
        <x:color rgb="FFFF5A49"/>
      </x:top>
      <x:bottom style="medium">
        <x:color rgb="FFFF5A49"/>
      </x:bottom>
    </x:border>
    <x:border>
      <x:bottom style="thin">
        <x:color rgb="FFDDD5E5"/>
      </x:bottom>
    </x:border>
    <x:border>
      <x:top style="thin">
        <x:color rgb="FFDDD5E5"/>
      </x:top>
      <x:bottom style="thin">
        <x:color rgb="FFDDD5E5"/>
      </x:bottom>
    </x:border>
    <x:border>
      <x:top style="thin">
        <x:color rgb="FFDDD5E5"/>
      </x:top>
      <x:bottom style="thin">
        <x:color rgb="FFCFC3D8"/>
      </x:bottom>
    </x:border>
    <x:border>
      <x:bottom style="thin">
        <x:color rgb="FFDDD5E5"/>
      </x:bottom>
    </x:border>
    <x:border>
      <x:top style="thin">
        <x:color rgb="FFDDD5E5"/>
      </x:top>
      <x:bottom style="thin">
        <x:color rgb="FFDDD5E5"/>
      </x:bottom>
    </x:border>
    <x:border>
      <x:top style="thin">
        <x:color rgb="FFDDD5E5"/>
      </x:top>
      <x:bottom style="thin">
        <x:color rgb="FFCFC3D8"/>
      </x:bottom>
    </x:border>
    <x:border>
      <x:top style="thin">
        <x:color rgb="FFDDD5E5"/>
      </x:top>
    </x:border>
    <x:border>
      <x:top style="thin">
        <x:color rgb="FFDDD5E5"/>
      </x:top>
    </x:border>
    <x:border>
      <x:bottom style="thin">
        <x:color rgb="FFD9C9E8"/>
      </x:bottom>
    </x:border>
    <x:border>
      <x:top style="thin">
        <x:color rgb="FFD9C9E8"/>
      </x:top>
      <x:bottom style="thin">
        <x:color rgb="FFD9C9E8"/>
      </x:bottom>
    </x:border>
    <x:border>
      <x:top style="thin">
        <x:color rgb="FFD9C9E8"/>
      </x:top>
    </x:border>
    <x:border>
      <x:bottom style="thin">
        <x:color rgb="FFD9C9E8"/>
      </x:bottom>
    </x:border>
    <x:border>
      <x:top style="thin">
        <x:color rgb="FFD9C9E8"/>
      </x:top>
      <x:bottom style="thin">
        <x:color rgb="FFD9C9E8"/>
      </x:bottom>
    </x:border>
    <x:border>
      <x:top style="thin">
        <x:color rgb="FFD9C9E8"/>
      </x:top>
    </x:border>
    <x:border>
      <x:bottom style="thin">
        <x:color rgb="FFF1D8CB"/>
      </x:bottom>
    </x:border>
    <x:border>
      <x:top style="thin">
        <x:color rgb="FFF1D8CB"/>
      </x:top>
      <x:bottom style="thin">
        <x:color rgb="FFF1D8CB"/>
      </x:bottom>
    </x:border>
    <x:border>
      <x:top style="thin">
        <x:color rgb="FFF1D8CB"/>
      </x:top>
    </x:border>
    <x:border>
      <x:bottom style="thin">
        <x:color rgb="FFF1D8CB"/>
      </x:bottom>
    </x:border>
    <x:border>
      <x:top style="thin">
        <x:color rgb="FFF1D8CB"/>
      </x:top>
      <x:bottom style="thin">
        <x:color rgb="FFF1D8CB"/>
      </x:bottom>
    </x:border>
    <x:border>
      <x:top style="thin">
        <x:color rgb="FFF1D8CB"/>
      </x:top>
    </x:border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0" fontId="3" fillId="3" borderId="11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horizontal="center" vertical="center"/>
    </x:xf>
    <x:xf numFmtId="0" fontId="3" fillId="3" borderId="9" xfId="0" applyNumberFormat="1" applyFont="1" applyFill="1" applyBorder="1" applyAlignment="1">
      <x:alignment horizontal="center" vertical="center"/>
    </x:xf>
    <x:xf numFmtId="0" fontId="3" fillId="3" borderId="10" xfId="0" applyNumberFormat="1" applyFont="1" applyFill="1" applyBorder="1" applyAlignment="1">
      <x:alignment horizontal="center" vertical="center"/>
    </x:xf>
    <x:xf numFmtId="0" fontId="3" fillId="3" borderId="11" xfId="0" applyNumberFormat="1" applyFont="1" applyFill="1" applyBorder="1" applyAlignment="1">
      <x:alignment horizontal="center" vertical="center"/>
    </x:xf>
    <x:xf numFmtId="0" fontId="3" fillId="3" borderId="12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horizontal="center" vertical="center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4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5" xfId="0" applyNumberFormat="1" applyFont="1" applyFill="1" applyBorder="1"/>
    <x:xf numFmtId="0" fontId="6" fillId="3" borderId="8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wrapText="1"/>
    </x:xf>
    <x:xf numFmtId="0" fontId="6" fillId="3" borderId="14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14" xfId="0" applyNumberFormat="1" applyFont="1" applyFill="1" applyBorder="1" applyAlignment="1">
      <x:alignment vertical="center" wrapText="1"/>
    </x:xf>
    <x:xf numFmtId="0" fontId="6" fillId="3" borderId="11" xfId="0" applyNumberFormat="1" applyFont="1" applyFill="1" applyBorder="1" applyAlignment="1">
      <x:alignment vertical="center" wrapText="1"/>
    </x:xf>
    <x:xf numFmtId="0" fontId="6" fillId="3" borderId="12" xfId="0" applyNumberFormat="1" applyFont="1" applyFill="1" applyBorder="1" applyAlignment="1">
      <x:alignment vertical="center" wrapText="1"/>
    </x:xf>
    <x:xf numFmtId="0" fontId="6" fillId="3" borderId="1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20" xfId="0" applyNumberFormat="1" applyFont="1" applyFill="1" applyBorder="1"/>
    <x:xf numFmtId="0" fontId="7" fillId="6" borderId="21" xfId="0" applyNumberFormat="1" applyFont="1" applyFill="1" applyBorder="1"/>
    <x:xf numFmtId="0" fontId="7" fillId="6" borderId="16" xfId="0" applyNumberFormat="1" applyFont="1" applyFill="1" applyBorder="1" applyAlignment="1">
      <x:alignment horizontal="center"/>
    </x:xf>
    <x:xf numFmtId="0" fontId="7" fillId="6" borderId="17" xfId="0" applyNumberFormat="1" applyFont="1" applyFill="1" applyBorder="1" applyAlignment="1">
      <x:alignment horizontal="center"/>
    </x:xf>
    <x:xf numFmtId="0" fontId="7" fillId="6" borderId="18" xfId="0" applyNumberFormat="1" applyFont="1" applyFill="1" applyBorder="1" applyAlignment="1">
      <x:alignment horizontal="center"/>
    </x:xf>
    <x:xf numFmtId="0" fontId="7" fillId="6" borderId="19" xfId="0" applyNumberFormat="1" applyFont="1" applyFill="1" applyBorder="1" applyAlignment="1">
      <x:alignment horizontal="center"/>
    </x:xf>
    <x:xf numFmtId="0" fontId="7" fillId="6" borderId="20" xfId="0" applyNumberFormat="1" applyFont="1" applyFill="1" applyBorder="1" applyAlignment="1">
      <x:alignment horizontal="center"/>
    </x:xf>
    <x:xf numFmtId="0" fontId="7" fillId="6" borderId="2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6" xfId="0" applyNumberFormat="1" applyFont="1" applyFill="1" applyBorder="1"/>
    <x:xf numFmtId="0" fontId="8" fillId="8" borderId="27" xfId="0" applyNumberFormat="1" applyFont="1" applyFill="1" applyBorder="1"/>
    <x:xf numFmtId="0" fontId="8" fillId="8" borderId="22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3a9190b7241c7" /><Relationship Type="http://schemas.openxmlformats.org/officeDocument/2006/relationships/theme" Target="/xl/theme/theme1.xml" Id="R564abc35fba9498c" /><Relationship Type="http://schemas.openxmlformats.org/officeDocument/2006/relationships/sharedStrings" Target="/xl/sharedStrings.xml" Id="R36c90876612e481b" /><Relationship Type="http://schemas.openxmlformats.org/officeDocument/2006/relationships/worksheet" Target="/xl/worksheets/sheet1.xml" Id="R11f13a7bcf164cff" /><Relationship Type="http://schemas.openxmlformats.org/officeDocument/2006/relationships/worksheet" Target="/xl/worksheets/sheet2.xml" Id="R6da2dade60ad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19" hidden="0" customWidth="1"/>
    <x:col min="4" max="4" width="18" hidden="0" customWidth="1"/>
    <x:col min="5" max="5" width="22" hidden="0" customWidth="1"/>
    <x:col min="6" max="6" width="18" hidden="0" customWidth="1"/>
    <x:col min="7" max="7" width="19" hidden="0" customWidth="1"/>
    <x:col min="8" max="8" width="10" hidden="0" customWidth="1"/>
    <x:col min="9" max="9" width="20" hidden="0" customWidth="1"/>
    <x:col min="10" max="10" width="22" hidden="0" customWidth="1"/>
    <x:col min="11" max="11" width="12" hidden="0" customWidth="1"/>
    <x:col min="12" max="12" width="46" hidden="0" customWidth="1"/>
    <x:col min="13" max="13" width="46" hidden="0" customWidth="1"/>
    <x:col min="14" max="14" width="34" hidden="0" customWidth="1"/>
    <x:col min="15" max="15" width="32" hidden="0" customWidth="1"/>
    <x:col min="16" max="16" width="12" hidden="0" customWidth="1"/>
    <x:col min="17" max="17" width="12" hidden="0" customWidth="1"/>
  </x:cols>
  <x:sheetData>
    <x:row r="1" ht="34" customHeight="1">
      <x:c r="A1" s="22" t="str">
        <x:v>order</x:v>
      </x:c>
      <x:c r="B1" s="23" t="str">
        <x:v>slug</x:v>
      </x:c>
      <x:c r="C1" s="23" t="str">
        <x:v>template_slug</x:v>
      </x:c>
      <x:c r="D1" s="23" t="str">
        <x:v>title_zh</x:v>
      </x:c>
      <x:c r="E1" s="23" t="str">
        <x:v>title_en</x:v>
      </x:c>
      <x:c r="F1" s="23" t="str">
        <x:v>category_zh</x:v>
      </x:c>
      <x:c r="G1" s="23" t="str">
        <x:v>category_en</x:v>
      </x:c>
      <x:c r="H1" s="23" t="str">
        <x:v>year</x:v>
      </x:c>
      <x:c r="I1" s="23" t="str">
        <x:v>role_zh</x:v>
      </x:c>
      <x:c r="J1" s="23" t="str">
        <x:v>role_en</x:v>
      </x:c>
      <x:c r="K1" s="23" t="str">
        <x:v>duration</x:v>
      </x:c>
      <x:c r="L1" s="23" t="str">
        <x:v>preview_video</x:v>
      </x:c>
      <x:c r="M1" s="23" t="str">
        <x:v>full_video</x:v>
      </x:c>
      <x:c r="N1" s="23" t="str">
        <x:v>cover</x:v>
      </x:c>
      <x:c r="O1" s="23" t="str">
        <x:v>visual</x:v>
      </x:c>
      <x:c r="P1" s="23" t="str">
        <x:v>featured</x:v>
      </x:c>
      <x:c r="Q1" s="24" t="str">
        <x:v>enabled</x:v>
      </x:c>
    </x:row>
    <x:row r="2" ht="46" customHeight="1">
      <x:c r="A2" s="38" t="str">
        <x:v>1</x:v>
      </x:c>
      <x:c r="B2" s="32" t="str">
        <x:v>afterglow</x:v>
      </x:c>
      <x:c r="C2" s="32" t="str">
        <x:v>afterglow</x:v>
      </x:c>
      <x:c r="D2" s="32" t="str">
        <x:v>余晖</x:v>
      </x:c>
      <x:c r="E2" s="32" t="str">
        <x:v>Afterglow</x:v>
      </x:c>
      <x:c r="F2" s="32" t="str">
        <x:v>品牌短片</x:v>
      </x:c>
      <x:c r="G2" s="32" t="str">
        <x:v>Brand Film</x:v>
      </x:c>
      <x:c r="H2" s="38" t="str">
        <x:v>2026</x:v>
      </x:c>
      <x:c r="I2" s="32" t="str">
        <x:v>导演 / 剪辑</x:v>
      </x:c>
      <x:c r="J2" s="32" t="str">
        <x:v>Direction / Edit</x:v>
      </x:c>
      <x:c r="K2" s="38" t="str">
        <x:v>01:24</x:v>
      </x:c>
      <x:c r="L2" s="44" t="str">
        <x:v>https://interactive-examples.mdn.mozilla.net/media/cc0-videos/flower.mp4</x:v>
      </x:c>
      <x:c r="M2" s="44" t="str">
        <x:v>https://interactive-examples.mdn.mozilla.net/media/cc0-videos/flower.mp4</x:v>
      </x:c>
      <x:c r="N2" s="44" t="str">
        <x:v>/hero-posts/liker-post-01.webp</x:v>
      </x:c>
      <x:c r="O2" s="32" t="str"/>
      <x:c r="P2" s="38" t="str">
        <x:v>TRUE</x:v>
      </x:c>
      <x:c r="Q2" s="38" t="str">
        <x:v>TRUE</x:v>
      </x:c>
    </x:row>
    <x:row r="3" ht="46" customHeight="1">
      <x:c r="A3" s="39" t="str">
        <x:v>2</x:v>
      </x:c>
      <x:c r="B3" s="33" t="str">
        <x:v>neon-pulse</x:v>
      </x:c>
      <x:c r="C3" s="33" t="str">
        <x:v>neon-pulse</x:v>
      </x:c>
      <x:c r="D3" s="33" t="str">
        <x:v>霓虹脉冲</x:v>
      </x:c>
      <x:c r="E3" s="33" t="str">
        <x:v>Neon Pulse</x:v>
      </x:c>
      <x:c r="F3" s="33" t="str">
        <x:v>广告</x:v>
      </x:c>
      <x:c r="G3" s="33" t="str">
        <x:v>Commercial</x:v>
      </x:c>
      <x:c r="H3" s="39" t="str">
        <x:v>2026</x:v>
      </x:c>
      <x:c r="I3" s="33" t="str">
        <x:v>创意 / 后期</x:v>
      </x:c>
      <x:c r="J3" s="33" t="str">
        <x:v>Concept / Post</x:v>
      </x:c>
      <x:c r="K3" s="39" t="str">
        <x:v>00:45</x:v>
      </x:c>
      <x:c r="L3" s="45" t="str">
        <x:v>https://videos.pexels.com/video-files/3130284/3130284-hd_3840_2160_30fps.mp4</x:v>
      </x:c>
      <x:c r="M3" s="45" t="str">
        <x:v>https://videos.pexels.com/video-files/3130284/3130284-hd_3840_2160_30fps.mp4</x:v>
      </x:c>
      <x:c r="N3" s="45" t="str">
        <x:v>/hero-posts/liker-post-02.webp</x:v>
      </x:c>
      <x:c r="O3" s="33" t="str"/>
      <x:c r="P3" s="39" t="str">
        <x:v>TRUE</x:v>
      </x:c>
      <x:c r="Q3" s="39" t="str">
        <x:v>TRUE</x:v>
      </x:c>
    </x:row>
    <x:row r="4" ht="46" customHeight="1">
      <x:c r="A4" s="39" t="str">
        <x:v>3</x:v>
      </x:c>
      <x:c r="B4" s="33" t="str">
        <x:v>quiet-tides</x:v>
      </x:c>
      <x:c r="C4" s="33" t="str">
        <x:v>quiet-tides</x:v>
      </x:c>
      <x:c r="D4" s="33" t="str">
        <x:v>静潮</x:v>
      </x:c>
      <x:c r="E4" s="33" t="str">
        <x:v>Quiet Tides</x:v>
      </x:c>
      <x:c r="F4" s="33" t="str">
        <x:v>纪录短片</x:v>
      </x:c>
      <x:c r="G4" s="33" t="str">
        <x:v>Documentary</x:v>
      </x:c>
      <x:c r="H4" s="39" t="str">
        <x:v>2025</x:v>
      </x:c>
      <x:c r="I4" s="33" t="str">
        <x:v>摄影 / 剪辑</x:v>
      </x:c>
      <x:c r="J4" s="33" t="str">
        <x:v>Cinematography / Edit</x:v>
      </x:c>
      <x:c r="K4" s="39" t="str">
        <x:v>03:12</x:v>
      </x:c>
      <x:c r="L4" s="45" t="str">
        <x:v>https://videos.pexels.com/video-files/3129595/3129595-hd_1920_1080_25fps.mp4</x:v>
      </x:c>
      <x:c r="M4" s="45" t="str">
        <x:v>https://videos.pexels.com/video-files/3129595/3129595-hd_1920_1080_25fps.mp4</x:v>
      </x:c>
      <x:c r="N4" s="45" t="str">
        <x:v>/hero-posts/liker-post-03.webp</x:v>
      </x:c>
      <x:c r="O4" s="33" t="str"/>
      <x:c r="P4" s="39" t="str">
        <x:v>TRUE</x:v>
      </x:c>
      <x:c r="Q4" s="39" t="str">
        <x:v>TRUE</x:v>
      </x:c>
    </x:row>
    <x:row r="5" ht="46" customHeight="1">
      <x:c r="A5" s="39" t="str">
        <x:v>4</x:v>
      </x:c>
      <x:c r="B5" s="33" t="str">
        <x:v>kinetic-type</x:v>
      </x:c>
      <x:c r="C5" s="33" t="str">
        <x:v>kinetic-type</x:v>
      </x:c>
      <x:c r="D5" s="33" t="str">
        <x:v>字动</x:v>
      </x:c>
      <x:c r="E5" s="33" t="str">
        <x:v>Kinetic Type</x:v>
      </x:c>
      <x:c r="F5" s="33" t="str">
        <x:v>动态设计</x:v>
      </x:c>
      <x:c r="G5" s="33" t="str">
        <x:v>Motion Design</x:v>
      </x:c>
      <x:c r="H5" s="39" t="str">
        <x:v>2025</x:v>
      </x:c>
      <x:c r="I5" s="33" t="str">
        <x:v>设计 / 动效</x:v>
      </x:c>
      <x:c r="J5" s="33" t="str">
        <x:v>Design / Animation</x:v>
      </x:c>
      <x:c r="K5" s="39" t="str">
        <x:v>00:32</x:v>
      </x:c>
      <x:c r="L5" s="45" t="str">
        <x:v>https://videos.pexels.com/video-files/2869107/2869107-hd_1920_1080_25fps.mp4</x:v>
      </x:c>
      <x:c r="M5" s="45" t="str">
        <x:v>https://videos.pexels.com/video-files/2869107/2869107-hd_1920_1080_25fps.mp4</x:v>
      </x:c>
      <x:c r="N5" s="45" t="str">
        <x:v>/hero-posts/liker-post-04.webp</x:v>
      </x:c>
      <x:c r="O5" s="33" t="str"/>
      <x:c r="P5" s="39" t="str">
        <x:v>TRUE</x:v>
      </x:c>
      <x:c r="Q5" s="39" t="str">
        <x:v>TRUE</x:v>
      </x:c>
    </x:row>
    <x:row r="6" ht="46" customHeight="1">
      <x:c r="A6" s="39" t="str">
        <x:v>5</x:v>
      </x:c>
      <x:c r="B6" s="33" t="str">
        <x:v>orbital-form</x:v>
      </x:c>
      <x:c r="C6" s="33" t="str">
        <x:v>orbital-form</x:v>
      </x:c>
      <x:c r="D6" s="33" t="str">
        <x:v>轨道形态</x:v>
      </x:c>
      <x:c r="E6" s="33" t="str">
        <x:v>Orbital Form</x:v>
      </x:c>
      <x:c r="F6" s="33" t="str">
        <x:v>三维动画</x:v>
      </x:c>
      <x:c r="G6" s="33" t="str">
        <x:v>3D Animation</x:v>
      </x:c>
      <x:c r="H6" s="39" t="str">
        <x:v>2025</x:v>
      </x:c>
      <x:c r="I6" s="33" t="str">
        <x:v>三维 / 合成</x:v>
      </x:c>
      <x:c r="J6" s="33" t="str">
        <x:v>3D / Compositing</x:v>
      </x:c>
      <x:c r="K6" s="39" t="str">
        <x:v>00:28</x:v>
      </x:c>
      <x:c r="L6" s="45" t="str">
        <x:v>https://videos.pexels.com/video-files/853800/853800-hd_1920_1080_30fps.mp4</x:v>
      </x:c>
      <x:c r="M6" s="45" t="str">
        <x:v>https://videos.pexels.com/video-files/853800/853800-hd_1920_1080_30fps.mp4</x:v>
      </x:c>
      <x:c r="N6" s="45" t="str">
        <x:v>/og.png</x:v>
      </x:c>
      <x:c r="O6" s="33" t="str"/>
      <x:c r="P6" s="39" t="str">
        <x:v>TRUE</x:v>
      </x:c>
      <x:c r="Q6" s="39" t="str">
        <x:v>TRUE</x:v>
      </x:c>
    </x:row>
    <x:row r="7" ht="46" customHeight="1">
      <x:c r="A7" s="39" t="str">
        <x:v>6</x:v>
      </x:c>
      <x:c r="B7" s="33" t="str">
        <x:v>nocturne</x:v>
      </x:c>
      <x:c r="C7" s="33" t="str">
        <x:v>nocturne</x:v>
      </x:c>
      <x:c r="D7" s="33" t="str">
        <x:v>夜曲</x:v>
      </x:c>
      <x:c r="E7" s="33" t="str">
        <x:v>Nocturne</x:v>
      </x:c>
      <x:c r="F7" s="33" t="str">
        <x:v>音乐视觉</x:v>
      </x:c>
      <x:c r="G7" s="33" t="str">
        <x:v>Music Visual</x:v>
      </x:c>
      <x:c r="H7" s="39" t="str">
        <x:v>2024</x:v>
      </x:c>
      <x:c r="I7" s="33" t="str">
        <x:v>导演 / 视觉</x:v>
      </x:c>
      <x:c r="J7" s="33" t="str">
        <x:v>Direction / Visuals</x:v>
      </x:c>
      <x:c r="K7" s="39" t="str">
        <x:v>02:08</x:v>
      </x:c>
      <x:c r="L7" s="45" t="str">
        <x:v>https://videos.pexels.com/video-files/3629511/3629511-hd_1920_1080_25fps.mp4</x:v>
      </x:c>
      <x:c r="M7" s="45" t="str">
        <x:v>https://videos.pexels.com/video-files/3629511/3629511-hd_1920_1080_25fps.mp4</x:v>
      </x:c>
      <x:c r="N7" s="45" t="str">
        <x:v>/hero-posts/liker-post-01.webp</x:v>
      </x:c>
      <x:c r="O7" s="33" t="str"/>
      <x:c r="P7" s="39" t="str">
        <x:v>TRUE</x:v>
      </x:c>
      <x:c r="Q7" s="39" t="str">
        <x:v>TRUE</x:v>
      </x:c>
    </x:row>
    <x:row r="8" ht="46" customHeight="1">
      <x:c r="A8" s="39" t="str">
        <x:v>7</x:v>
      </x:c>
      <x:c r="B8" s="33" t="str">
        <x:v>morning-haze</x:v>
      </x:c>
      <x:c r="C8" s="33" t="str">
        <x:v>afterglow</x:v>
      </x:c>
      <x:c r="D8" s="33" t="str">
        <x:v>晨雾</x:v>
      </x:c>
      <x:c r="E8" s="33" t="str">
        <x:v>Morning Haze</x:v>
      </x:c>
      <x:c r="F8" s="33" t="str">
        <x:v>品牌短片</x:v>
      </x:c>
      <x:c r="G8" s="33" t="str">
        <x:v>Brand Film</x:v>
      </x:c>
      <x:c r="H8" s="39" t="str">
        <x:v>2025</x:v>
      </x:c>
      <x:c r="I8" s="33" t="str">
        <x:v>导演 / 剪辑</x:v>
      </x:c>
      <x:c r="J8" s="33" t="str">
        <x:v>Direction / Edit</x:v>
      </x:c>
      <x:c r="K8" s="39" t="str">
        <x:v>01:10</x:v>
      </x:c>
      <x:c r="L8" s="45" t="str">
        <x:v>https://interactive-examples.mdn.mozilla.net/media/cc0-videos/flower.mp4</x:v>
      </x:c>
      <x:c r="M8" s="45" t="str">
        <x:v>https://interactive-examples.mdn.mozilla.net/media/cc0-videos/flower.mp4</x:v>
      </x:c>
      <x:c r="N8" s="45" t="str">
        <x:v>/hero-posts/liker-post-02.webp</x:v>
      </x:c>
      <x:c r="O8" s="33" t="str"/>
      <x:c r="P8" s="39" t="str">
        <x:v>FALSE</x:v>
      </x:c>
      <x:c r="Q8" s="39" t="str">
        <x:v>TRUE</x:v>
      </x:c>
    </x:row>
    <x:row r="9" ht="46" customHeight="1">
      <x:c r="A9" s="39" t="str">
        <x:v>8</x:v>
      </x:c>
      <x:c r="B9" s="33" t="str">
        <x:v>echo-cuts</x:v>
      </x:c>
      <x:c r="C9" s="33" t="str">
        <x:v>neon-pulse</x:v>
      </x:c>
      <x:c r="D9" s="33" t="str">
        <x:v>回声切片</x:v>
      </x:c>
      <x:c r="E9" s="33" t="str">
        <x:v>Echo Cuts</x:v>
      </x:c>
      <x:c r="F9" s="33" t="str">
        <x:v>广告</x:v>
      </x:c>
      <x:c r="G9" s="33" t="str">
        <x:v>Commercial</x:v>
      </x:c>
      <x:c r="H9" s="39" t="str">
        <x:v>2025</x:v>
      </x:c>
      <x:c r="I9" s="33" t="str">
        <x:v>创意 / 后期</x:v>
      </x:c>
      <x:c r="J9" s="33" t="str">
        <x:v>Concept / Post</x:v>
      </x:c>
      <x:c r="K9" s="39" t="str">
        <x:v>00:36</x:v>
      </x:c>
      <x:c r="L9" s="45" t="str">
        <x:v>https://videos.pexels.com/video-files/3130284/3130284-hd_3840_2160_30fps.mp4</x:v>
      </x:c>
      <x:c r="M9" s="45" t="str">
        <x:v>https://videos.pexels.com/video-files/3130284/3130284-hd_3840_2160_30fps.mp4</x:v>
      </x:c>
      <x:c r="N9" s="45" t="str">
        <x:v>/hero-posts/liker-post-03.webp</x:v>
      </x:c>
      <x:c r="O9" s="33" t="str"/>
      <x:c r="P9" s="39" t="str">
        <x:v>FALSE</x:v>
      </x:c>
      <x:c r="Q9" s="39" t="str">
        <x:v>TRUE</x:v>
      </x:c>
    </x:row>
    <x:row r="10" ht="46" customHeight="1">
      <x:c r="A10" s="39" t="str">
        <x:v>9</x:v>
      </x:c>
      <x:c r="B10" s="33" t="str">
        <x:v>glimmer-sequence</x:v>
      </x:c>
      <x:c r="C10" s="33" t="str">
        <x:v>kinetic-type</x:v>
      </x:c>
      <x:c r="D10" s="33" t="str">
        <x:v>微光序列</x:v>
      </x:c>
      <x:c r="E10" s="33" t="str">
        <x:v>Glimmer Sequence</x:v>
      </x:c>
      <x:c r="F10" s="33" t="str">
        <x:v>动态设计</x:v>
      </x:c>
      <x:c r="G10" s="33" t="str">
        <x:v>Motion Design</x:v>
      </x:c>
      <x:c r="H10" s="39" t="str">
        <x:v>2025</x:v>
      </x:c>
      <x:c r="I10" s="33" t="str">
        <x:v>设计 / 动效</x:v>
      </x:c>
      <x:c r="J10" s="33" t="str">
        <x:v>Design / Animation</x:v>
      </x:c>
      <x:c r="K10" s="39" t="str">
        <x:v>00:40</x:v>
      </x:c>
      <x:c r="L10" s="45" t="str">
        <x:v>https://videos.pexels.com/video-files/2869107/2869107-hd_1920_1080_25fps.mp4</x:v>
      </x:c>
      <x:c r="M10" s="45" t="str">
        <x:v>https://videos.pexels.com/video-files/2869107/2869107-hd_1920_1080_25fps.mp4</x:v>
      </x:c>
      <x:c r="N10" s="45" t="str">
        <x:v>/hero-posts/liker-post-04.webp</x:v>
      </x:c>
      <x:c r="O10" s="33" t="str"/>
      <x:c r="P10" s="39" t="str">
        <x:v>FALSE</x:v>
      </x:c>
      <x:c r="Q10" s="39" t="str">
        <x:v>TRUE</x:v>
      </x:c>
    </x:row>
    <x:row r="11" ht="46" customHeight="1">
      <x:c r="A11" s="39" t="str">
        <x:v>10</x:v>
      </x:c>
      <x:c r="B11" s="33" t="str">
        <x:v>gravity-study</x:v>
      </x:c>
      <x:c r="C11" s="33" t="str">
        <x:v>orbital-form</x:v>
      </x:c>
      <x:c r="D11" s="33" t="str">
        <x:v>重力练习</x:v>
      </x:c>
      <x:c r="E11" s="33" t="str">
        <x:v>Gravity Study</x:v>
      </x:c>
      <x:c r="F11" s="33" t="str">
        <x:v>三维动画</x:v>
      </x:c>
      <x:c r="G11" s="33" t="str">
        <x:v>3D Animation</x:v>
      </x:c>
      <x:c r="H11" s="39" t="str">
        <x:v>2025</x:v>
      </x:c>
      <x:c r="I11" s="33" t="str">
        <x:v>三维 / 合成</x:v>
      </x:c>
      <x:c r="J11" s="33" t="str">
        <x:v>3D / Compositing</x:v>
      </x:c>
      <x:c r="K11" s="39" t="str">
        <x:v>00:30</x:v>
      </x:c>
      <x:c r="L11" s="45" t="str">
        <x:v>https://videos.pexels.com/video-files/853800/853800-hd_1920_1080_30fps.mp4</x:v>
      </x:c>
      <x:c r="M11" s="45" t="str">
        <x:v>https://videos.pexels.com/video-files/853800/853800-hd_1920_1080_30fps.mp4</x:v>
      </x:c>
      <x:c r="N11" s="45" t="str">
        <x:v>/og.png</x:v>
      </x:c>
      <x:c r="O11" s="33" t="str"/>
      <x:c r="P11" s="39" t="str">
        <x:v>FALSE</x:v>
      </x:c>
      <x:c r="Q11" s="39" t="str">
        <x:v>TRUE</x:v>
      </x:c>
    </x:row>
    <x:row r="12" ht="46" customHeight="1">
      <x:c r="A12" s="39" t="str">
        <x:v>11</x:v>
      </x:c>
      <x:c r="B12" s="33" t="str">
        <x:v>city-breath</x:v>
      </x:c>
      <x:c r="C12" s="33" t="str">
        <x:v>quiet-tides</x:v>
      </x:c>
      <x:c r="D12" s="33" t="str">
        <x:v>城市呼吸</x:v>
      </x:c>
      <x:c r="E12" s="33" t="str">
        <x:v>City Breath</x:v>
      </x:c>
      <x:c r="F12" s="33" t="str">
        <x:v>纪录短片</x:v>
      </x:c>
      <x:c r="G12" s="33" t="str">
        <x:v>Documentary</x:v>
      </x:c>
      <x:c r="H12" s="39" t="str">
        <x:v>2025</x:v>
      </x:c>
      <x:c r="I12" s="33" t="str">
        <x:v>摄影 / 剪辑</x:v>
      </x:c>
      <x:c r="J12" s="33" t="str">
        <x:v>Cinematography / Edit</x:v>
      </x:c>
      <x:c r="K12" s="39" t="str">
        <x:v>02:24</x:v>
      </x:c>
      <x:c r="L12" s="45" t="str">
        <x:v>https://videos.pexels.com/video-files/3129595/3129595-hd_1920_1080_25fps.mp4</x:v>
      </x:c>
      <x:c r="M12" s="45" t="str">
        <x:v>https://videos.pexels.com/video-files/3129595/3129595-hd_1920_1080_25fps.mp4</x:v>
      </x:c>
      <x:c r="N12" s="45" t="str">
        <x:v>/hero-posts/liker-post-01.webp</x:v>
      </x:c>
      <x:c r="O12" s="33" t="str"/>
      <x:c r="P12" s="39" t="str">
        <x:v>FALSE</x:v>
      </x:c>
      <x:c r="Q12" s="39" t="str">
        <x:v>TRUE</x:v>
      </x:c>
    </x:row>
    <x:row r="13" ht="46" customHeight="1">
      <x:c r="A13" s="39" t="str">
        <x:v>12</x:v>
      </x:c>
      <x:c r="B13" s="33" t="str">
        <x:v>liquid-type</x:v>
      </x:c>
      <x:c r="C13" s="33" t="str">
        <x:v>kinetic-type</x:v>
      </x:c>
      <x:c r="D13" s="33" t="str">
        <x:v>液态字体</x:v>
      </x:c>
      <x:c r="E13" s="33" t="str">
        <x:v>Liquid Type</x:v>
      </x:c>
      <x:c r="F13" s="33" t="str">
        <x:v>动态设计</x:v>
      </x:c>
      <x:c r="G13" s="33" t="str">
        <x:v>Motion Design</x:v>
      </x:c>
      <x:c r="H13" s="39" t="str">
        <x:v>2025</x:v>
      </x:c>
      <x:c r="I13" s="33" t="str">
        <x:v>设计 / 动效</x:v>
      </x:c>
      <x:c r="J13" s="33" t="str">
        <x:v>Design / Animation</x:v>
      </x:c>
      <x:c r="K13" s="39" t="str">
        <x:v>00:33</x:v>
      </x:c>
      <x:c r="L13" s="45" t="str">
        <x:v>https://videos.pexels.com/video-files/2869107/2869107-hd_1920_1080_25fps.mp4</x:v>
      </x:c>
      <x:c r="M13" s="45" t="str">
        <x:v>https://videos.pexels.com/video-files/2869107/2869107-hd_1920_1080_25fps.mp4</x:v>
      </x:c>
      <x:c r="N13" s="45" t="str">
        <x:v>/hero-posts/liker-post-02.webp</x:v>
      </x:c>
      <x:c r="O13" s="33" t="str"/>
      <x:c r="P13" s="39" t="str">
        <x:v>FALSE</x:v>
      </x:c>
      <x:c r="Q13" s="39" t="str">
        <x:v>TRUE</x:v>
      </x:c>
    </x:row>
    <x:row r="14" ht="46" customHeight="1">
      <x:c r="A14" s="39" t="str">
        <x:v>13</x:v>
      </x:c>
      <x:c r="B14" s="33" t="str">
        <x:v>spectrum-memory</x:v>
      </x:c>
      <x:c r="C14" s="33" t="str">
        <x:v>orbital-form</x:v>
      </x:c>
      <x:c r="D14" s="33" t="str">
        <x:v>光谱记忆</x:v>
      </x:c>
      <x:c r="E14" s="33" t="str">
        <x:v>Spectrum Memory</x:v>
      </x:c>
      <x:c r="F14" s="33" t="str">
        <x:v>三维动画</x:v>
      </x:c>
      <x:c r="G14" s="33" t="str">
        <x:v>3D Animation</x:v>
      </x:c>
      <x:c r="H14" s="39" t="str">
        <x:v>2025</x:v>
      </x:c>
      <x:c r="I14" s="33" t="str">
        <x:v>三维 / 合成</x:v>
      </x:c>
      <x:c r="J14" s="33" t="str">
        <x:v>3D / Compositing</x:v>
      </x:c>
      <x:c r="K14" s="39" t="str">
        <x:v>00:42</x:v>
      </x:c>
      <x:c r="L14" s="45" t="str">
        <x:v>https://videos.pexels.com/video-files/853800/853800-hd_1920_1080_30fps.mp4</x:v>
      </x:c>
      <x:c r="M14" s="45" t="str">
        <x:v>https://videos.pexels.com/video-files/853800/853800-hd_1920_1080_30fps.mp4</x:v>
      </x:c>
      <x:c r="N14" s="45" t="str">
        <x:v>/hero-posts/liker-post-03.webp</x:v>
      </x:c>
      <x:c r="O14" s="33" t="str"/>
      <x:c r="P14" s="39" t="str">
        <x:v>FALSE</x:v>
      </x:c>
      <x:c r="Q14" s="39" t="str">
        <x:v>TRUE</x:v>
      </x:c>
    </x:row>
    <x:row r="15" ht="46" customHeight="1">
      <x:c r="A15" s="39" t="str">
        <x:v>14</x:v>
      </x:c>
      <x:c r="B15" s="33" t="str">
        <x:v>outline-of-wind</x:v>
      </x:c>
      <x:c r="C15" s="33" t="str">
        <x:v>quiet-tides</x:v>
      </x:c>
      <x:c r="D15" s="33" t="str">
        <x:v>风的轮廓</x:v>
      </x:c>
      <x:c r="E15" s="33" t="str">
        <x:v>Outline of Wind</x:v>
      </x:c>
      <x:c r="F15" s="33" t="str">
        <x:v>纪录短片</x:v>
      </x:c>
      <x:c r="G15" s="33" t="str">
        <x:v>Documentary</x:v>
      </x:c>
      <x:c r="H15" s="39" t="str">
        <x:v>2025</x:v>
      </x:c>
      <x:c r="I15" s="33" t="str">
        <x:v>摄影 / 剪辑</x:v>
      </x:c>
      <x:c r="J15" s="33" t="str">
        <x:v>Cinematography / Edit</x:v>
      </x:c>
      <x:c r="K15" s="39" t="str">
        <x:v>01:48</x:v>
      </x:c>
      <x:c r="L15" s="45" t="str">
        <x:v>https://videos.pexels.com/video-files/3129595/3129595-hd_1920_1080_25fps.mp4</x:v>
      </x:c>
      <x:c r="M15" s="45" t="str">
        <x:v>https://videos.pexels.com/video-files/3129595/3129595-hd_1920_1080_25fps.mp4</x:v>
      </x:c>
      <x:c r="N15" s="45" t="str">
        <x:v>/hero-posts/liker-post-04.webp</x:v>
      </x:c>
      <x:c r="O15" s="33" t="str"/>
      <x:c r="P15" s="39" t="str">
        <x:v>FALSE</x:v>
      </x:c>
      <x:c r="Q15" s="39" t="str">
        <x:v>TRUE</x:v>
      </x:c>
    </x:row>
    <x:row r="16" ht="46" customHeight="1">
      <x:c r="A16" s="39" t="str">
        <x:v>15</x:v>
      </x:c>
      <x:c r="B16" s="33" t="str">
        <x:v>pixel-tides</x:v>
      </x:c>
      <x:c r="C16" s="33" t="str">
        <x:v>kinetic-type</x:v>
      </x:c>
      <x:c r="D16" s="33" t="str">
        <x:v>像素潮汐</x:v>
      </x:c>
      <x:c r="E16" s="33" t="str">
        <x:v>Pixel Tides</x:v>
      </x:c>
      <x:c r="F16" s="33" t="str">
        <x:v>动态设计</x:v>
      </x:c>
      <x:c r="G16" s="33" t="str">
        <x:v>Motion Design</x:v>
      </x:c>
      <x:c r="H16" s="39" t="str">
        <x:v>2025</x:v>
      </x:c>
      <x:c r="I16" s="33" t="str">
        <x:v>设计 / 动效</x:v>
      </x:c>
      <x:c r="J16" s="33" t="str">
        <x:v>Design / Animation</x:v>
      </x:c>
      <x:c r="K16" s="39" t="str">
        <x:v>00:38</x:v>
      </x:c>
      <x:c r="L16" s="45" t="str">
        <x:v>https://videos.pexels.com/video-files/2869107/2869107-hd_1920_1080_25fps.mp4</x:v>
      </x:c>
      <x:c r="M16" s="45" t="str">
        <x:v>https://videos.pexels.com/video-files/2869107/2869107-hd_1920_1080_25fps.mp4</x:v>
      </x:c>
      <x:c r="N16" s="45" t="str">
        <x:v>/og.png</x:v>
      </x:c>
      <x:c r="O16" s="33" t="str"/>
      <x:c r="P16" s="39" t="str">
        <x:v>FALSE</x:v>
      </x:c>
      <x:c r="Q16" s="39" t="str">
        <x:v>TRUE</x:v>
      </x:c>
    </x:row>
    <x:row r="17" ht="46" customHeight="1">
      <x:c r="A17" s="39" t="str">
        <x:v>16</x:v>
      </x:c>
      <x:c r="B17" s="33" t="str">
        <x:v>night-signal</x:v>
      </x:c>
      <x:c r="C17" s="33" t="str">
        <x:v>nocturne</x:v>
      </x:c>
      <x:c r="D17" s="33" t="str">
        <x:v>夜行信号</x:v>
      </x:c>
      <x:c r="E17" s="33" t="str">
        <x:v>Night Signal</x:v>
      </x:c>
      <x:c r="F17" s="33" t="str">
        <x:v>音乐视觉</x:v>
      </x:c>
      <x:c r="G17" s="33" t="str">
        <x:v>Music Visual</x:v>
      </x:c>
      <x:c r="H17" s="39" t="str">
        <x:v>2025</x:v>
      </x:c>
      <x:c r="I17" s="33" t="str">
        <x:v>导演 / 视觉</x:v>
      </x:c>
      <x:c r="J17" s="33" t="str">
        <x:v>Direction / Visuals</x:v>
      </x:c>
      <x:c r="K17" s="39" t="str">
        <x:v>01:52</x:v>
      </x:c>
      <x:c r="L17" s="45" t="str">
        <x:v>https://videos.pexels.com/video-files/3629511/3629511-hd_1920_1080_25fps.mp4</x:v>
      </x:c>
      <x:c r="M17" s="45" t="str">
        <x:v>https://videos.pexels.com/video-files/3629511/3629511-hd_1920_1080_25fps.mp4</x:v>
      </x:c>
      <x:c r="N17" s="45" t="str">
        <x:v>/hero-posts/liker-post-01.webp</x:v>
      </x:c>
      <x:c r="O17" s="33" t="str"/>
      <x:c r="P17" s="39" t="str">
        <x:v>FALSE</x:v>
      </x:c>
      <x:c r="Q17" s="39" t="str">
        <x:v>TRUE</x:v>
      </x:c>
    </x:row>
    <x:row r="18" ht="46" customHeight="1">
      <x:c r="A18" s="39" t="str">
        <x:v>17</x:v>
      </x:c>
      <x:c r="B18" s="33" t="str">
        <x:v>loop-garden</x:v>
      </x:c>
      <x:c r="C18" s="33" t="str">
        <x:v>orbital-form</x:v>
      </x:c>
      <x:c r="D18" s="33" t="str">
        <x:v>循环花园</x:v>
      </x:c>
      <x:c r="E18" s="33" t="str">
        <x:v>Loop Garden</x:v>
      </x:c>
      <x:c r="F18" s="33" t="str">
        <x:v>三维动画</x:v>
      </x:c>
      <x:c r="G18" s="33" t="str">
        <x:v>3D Animation</x:v>
      </x:c>
      <x:c r="H18" s="39" t="str">
        <x:v>2025</x:v>
      </x:c>
      <x:c r="I18" s="33" t="str">
        <x:v>三维 / 合成</x:v>
      </x:c>
      <x:c r="J18" s="33" t="str">
        <x:v>3D / Compositing</x:v>
      </x:c>
      <x:c r="K18" s="39" t="str">
        <x:v>00:29</x:v>
      </x:c>
      <x:c r="L18" s="45" t="str">
        <x:v>https://videos.pexels.com/video-files/853800/853800-hd_1920_1080_30fps.mp4</x:v>
      </x:c>
      <x:c r="M18" s="45" t="str">
        <x:v>https://videos.pexels.com/video-files/853800/853800-hd_1920_1080_30fps.mp4</x:v>
      </x:c>
      <x:c r="N18" s="45" t="str">
        <x:v>/hero-posts/liker-post-02.webp</x:v>
      </x:c>
      <x:c r="O18" s="33" t="str"/>
      <x:c r="P18" s="39" t="str">
        <x:v>FALSE</x:v>
      </x:c>
      <x:c r="Q18" s="39" t="str">
        <x:v>TRUE</x:v>
      </x:c>
    </x:row>
    <x:row r="19" ht="46" customHeight="1">
      <x:c r="A19" s="39" t="str">
        <x:v>18</x:v>
      </x:c>
      <x:c r="B19" s="33" t="str">
        <x:v>silent-ad</x:v>
      </x:c>
      <x:c r="C19" s="33" t="str">
        <x:v>neon-pulse</x:v>
      </x:c>
      <x:c r="D19" s="33" t="str">
        <x:v>无声广告</x:v>
      </x:c>
      <x:c r="E19" s="33" t="str">
        <x:v>Silent Ad</x:v>
      </x:c>
      <x:c r="F19" s="33" t="str">
        <x:v>广告</x:v>
      </x:c>
      <x:c r="G19" s="33" t="str">
        <x:v>Commercial</x:v>
      </x:c>
      <x:c r="H19" s="39" t="str">
        <x:v>2024</x:v>
      </x:c>
      <x:c r="I19" s="33" t="str">
        <x:v>创意 / 后期</x:v>
      </x:c>
      <x:c r="J19" s="33" t="str">
        <x:v>Concept / Post</x:v>
      </x:c>
      <x:c r="K19" s="39" t="str">
        <x:v>00:30</x:v>
      </x:c>
      <x:c r="L19" s="45" t="str">
        <x:v>https://videos.pexels.com/video-files/3130284/3130284-hd_3840_2160_30fps.mp4</x:v>
      </x:c>
      <x:c r="M19" s="45" t="str">
        <x:v>https://videos.pexels.com/video-files/3130284/3130284-hd_3840_2160_30fps.mp4</x:v>
      </x:c>
      <x:c r="N19" s="45" t="str">
        <x:v>/hero-posts/liker-post-03.webp</x:v>
      </x:c>
      <x:c r="O19" s="33" t="str"/>
      <x:c r="P19" s="39" t="str">
        <x:v>FALSE</x:v>
      </x:c>
      <x:c r="Q19" s="39" t="str">
        <x:v>TRUE</x:v>
      </x:c>
    </x:row>
    <x:row r="20" ht="46" customHeight="1">
      <x:c r="A20" s="39" t="str">
        <x:v>19</x:v>
      </x:c>
      <x:c r="B20" s="33" t="str">
        <x:v>material-study</x:v>
      </x:c>
      <x:c r="C20" s="33" t="str">
        <x:v>orbital-form</x:v>
      </x:c>
      <x:c r="D20" s="33" t="str">
        <x:v>材质实验</x:v>
      </x:c>
      <x:c r="E20" s="33" t="str">
        <x:v>Material Study</x:v>
      </x:c>
      <x:c r="F20" s="33" t="str">
        <x:v>三维动画</x:v>
      </x:c>
      <x:c r="G20" s="33" t="str">
        <x:v>3D Animation</x:v>
      </x:c>
      <x:c r="H20" s="39" t="str">
        <x:v>2025</x:v>
      </x:c>
      <x:c r="I20" s="33" t="str">
        <x:v>三维 / 合成</x:v>
      </x:c>
      <x:c r="J20" s="33" t="str">
        <x:v>3D / Compositing</x:v>
      </x:c>
      <x:c r="K20" s="39" t="str">
        <x:v>00:34</x:v>
      </x:c>
      <x:c r="L20" s="45" t="str">
        <x:v>https://videos.pexels.com/video-files/853800/853800-hd_1920_1080_30fps.mp4</x:v>
      </x:c>
      <x:c r="M20" s="45" t="str">
        <x:v>https://videos.pexels.com/video-files/853800/853800-hd_1920_1080_30fps.mp4</x:v>
      </x:c>
      <x:c r="N20" s="45" t="str">
        <x:v>/hero-posts/liker-post-04.webp</x:v>
      </x:c>
      <x:c r="O20" s="33" t="str"/>
      <x:c r="P20" s="39" t="str">
        <x:v>FALSE</x:v>
      </x:c>
      <x:c r="Q20" s="39" t="str">
        <x:v>TRUE</x:v>
      </x:c>
    </x:row>
    <x:row r="21" ht="46" customHeight="1">
      <x:c r="A21" s="40" t="str">
        <x:v>20</x:v>
      </x:c>
      <x:c r="B21" s="34" t="str">
        <x:v>last-frame</x:v>
      </x:c>
      <x:c r="C21" s="34" t="str">
        <x:v>neon-pulse</x:v>
      </x:c>
      <x:c r="D21" s="34" t="str">
        <x:v>最后一帧</x:v>
      </x:c>
      <x:c r="E21" s="34" t="str">
        <x:v>Last Frame</x:v>
      </x:c>
      <x:c r="F21" s="34" t="str">
        <x:v>广告</x:v>
      </x:c>
      <x:c r="G21" s="34" t="str">
        <x:v>Commercial</x:v>
      </x:c>
      <x:c r="H21" s="40" t="str">
        <x:v>2026</x:v>
      </x:c>
      <x:c r="I21" s="34" t="str">
        <x:v>创意 / 后期</x:v>
      </x:c>
      <x:c r="J21" s="34" t="str">
        <x:v>Concept / Post</x:v>
      </x:c>
      <x:c r="K21" s="40" t="str">
        <x:v>00:45</x:v>
      </x:c>
      <x:c r="L21" s="46" t="str">
        <x:v>https://videos.pexels.com/video-files/3130284/3130284-hd_3840_2160_30fps.mp4</x:v>
      </x:c>
      <x:c r="M21" s="46" t="str">
        <x:v>https://videos.pexels.com/video-files/3130284/3130284-hd_3840_2160_30fps.mp4</x:v>
      </x:c>
      <x:c r="N21" s="46" t="str">
        <x:v>/og.png</x:v>
      </x:c>
      <x:c r="O21" s="34" t="str"/>
      <x:c r="P21" s="40" t="str">
        <x:v>FALSE</x:v>
      </x:c>
      <x:c r="Q21" s="40" t="str">
        <x:v>TRUE</x:v>
      </x:c>
    </x:row>
  </x:sheetData>
  <x:dataValidations count="2">
    <x:dataValidation type="list" sqref="C2:C101">
      <x:formula1>"afterglow,neon-pulse,quiet-tides,kinetic-type,orbital-form,nocturne"</x:formula1>
    </x:dataValidation>
    <x:dataValidation type="list" sqref="P2:Q1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34" hidden="0" customWidth="1"/>
    <x:col min="4" max="4" width="28" hidden="0" customWidth="1"/>
    <x:col min="5" max="5" width="4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6" t="str">
        <x:v>LIUKER · 作品素材批量更新</x:v>
      </x:c>
      <x:c r="B1" s="56"/>
      <x:c r="C1" s="56"/>
      <x:c r="D1" s="56"/>
      <x:c r="E1" s="56"/>
      <x:c r="F1" s="56"/>
      <x:c r="G1" s="56"/>
      <x:c r="H1" s="56"/>
    </x:row>
    <x:row r="2">
      <x:c r="A2" s="56"/>
      <x:c r="B2" s="56"/>
      <x:c r="C2" s="56"/>
      <x:c r="D2" s="56"/>
      <x:c r="E2" s="56"/>
      <x:c r="F2" s="56"/>
      <x:c r="G2" s="56"/>
      <x:c r="H2" s="56"/>
    </x:row>
    <x:row r="4" ht="30" customHeight="1">
      <x:c r="A4" s="60" t="str">
        <x:v>使用步骤</x:v>
      </x:c>
      <x:c r="B4" s="60" t="str">
        <x:v>说明</x:v>
      </x:c>
      <x:c r="D4" s="86" t="str">
        <x:v>清单状态</x:v>
      </x:c>
      <x:c r="E4" s="86" t="str">
        <x:v>当前值</x:v>
      </x:c>
    </x:row>
    <x:row r="5" ht="30" customHeight="1">
      <x:c r="A5" s="78" t="str">
        <x:v>1</x:v>
      </x:c>
      <x:c r="B5" s="78" t="str">
        <x:v>把视频和封面复制到 public/media/projects/</x:v>
      </x:c>
      <x:c r="D5" s="92" t="str">
        <x:v>作品数量</x:v>
      </x:c>
      <x:c r="E5" s="104" t="n">
        <x:f>COUNTA('项目清单'!$B$2:$B$101)</x:f>
        <x:v>20</x:v>
      </x:c>
    </x:row>
    <x:row r="6" ht="30" customHeight="1">
      <x:c r="A6" s="79" t="str">
        <x:v>2</x:v>
      </x:c>
      <x:c r="B6" s="79" t="str">
        <x:v>在“项目清单”填写 /media/projects/文件名</x:v>
      </x:c>
      <x:c r="D6" s="93" t="str">
        <x:v>启用数量</x:v>
      </x:c>
      <x:c r="E6" s="105" t="n">
        <x:f>COUNTIF('项目清单'!$Q$2:$Q$101,"TRUE")</x:f>
        <x:v>20</x:v>
      </x:c>
    </x:row>
    <x:row r="7" ht="30" customHeight="1">
      <x:c r="A7" s="79" t="str">
        <x:v>3</x:v>
      </x:c>
      <x:c r="B7" s="79" t="str">
        <x:v>从 Excel 另存为 CSV UTF-8，并覆盖 content/projects.csv</x:v>
      </x:c>
      <x:c r="D7" s="94" t="str">
        <x:v>精选数量</x:v>
      </x:c>
      <x:c r="E7" s="106" t="n">
        <x:f>COUNTIF('项目清单'!$P$2:$P$101,"TRUE")</x:f>
        <x:v>6</x:v>
      </x:c>
    </x:row>
    <x:row r="8" ht="30" customHeight="1">
      <x:c r="A8" s="79" t="str">
        <x:v>4</x:v>
      </x:c>
      <x:c r="B8" s="79" t="str">
        <x:v>运行 npm run content:sync；启动或构建网站时也会自动同步</x:v>
      </x:c>
    </x:row>
    <x:row r="9" ht="30" customHeight="1">
      <x:c r="A9" s="80" t="str">
        <x:v>提示</x:v>
      </x:c>
      <x:c r="B9" s="80" t="str">
        <x:v>不要修改第一行字段名；slug 只使用小写字母、数字和连字符</x:v>
      </x:c>
    </x:row>
    <x:row r="10" ht="30" customHeight="1"/>
    <x:row r="11" ht="30" customHeight="1">
      <x:c r="A11" s="112" t="str">
        <x:v>推荐命名</x:v>
      </x:c>
      <x:c r="B11" s="112" t="str">
        <x:v>预览视频</x:v>
      </x:c>
      <x:c r="C11" s="112" t="str">
        <x:v>完整视频</x:v>
      </x:c>
      <x:c r="D11" s="112" t="str">
        <x:v>封面</x:v>
      </x:c>
      <x:c r="E11" s="112" t="str">
        <x:v>用途</x:v>
      </x:c>
      <x:c r="F11" s="112"/>
      <x:c r="G11" s="112"/>
      <x:c r="H11" s="112"/>
    </x:row>
    <x:row r="12" ht="30" customHeight="1">
      <x:c r="A12" s="124" t="str">
        <x:v>作品 01</x:v>
      </x:c>
      <x:c r="B12" s="124" t="str">
        <x:v>01-preview.mp4</x:v>
      </x:c>
      <x:c r="C12" s="124" t="str">
        <x:v>01-full.mp4</x:v>
      </x:c>
      <x:c r="D12" s="124" t="str">
        <x:v>01-cover.webp</x:v>
      </x:c>
      <x:c r="E12" s="124" t="str">
        <x:v>首页预览 / 弹窗与详情页 / 加载封面</x:v>
      </x:c>
      <x:c r="F12" s="124"/>
      <x:c r="G12" s="124"/>
      <x:c r="H12" s="124"/>
    </x:row>
    <x:row r="13" ht="30" customHeight="1">
      <x:c r="A13" s="125" t="str">
        <x:v>作品 02</x:v>
      </x:c>
      <x:c r="B13" s="125" t="str">
        <x:v>02-preview.mp4</x:v>
      </x:c>
      <x:c r="C13" s="125" t="str">
        <x:v>02-full.mp4</x:v>
      </x:c>
      <x:c r="D13" s="125" t="str">
        <x:v>02-cover.webp</x:v>
      </x:c>
      <x:c r="E13" s="125" t="str">
        <x:v>依次编号即可批量管理</x:v>
      </x:c>
      <x:c r="F13" s="125"/>
      <x:c r="G13" s="125"/>
      <x:c r="H13" s="125"/>
    </x:row>
    <x:row r="14" ht="30" customHeight="1">
      <x:c r="A14" s="126" t="str">
        <x:v>路径示例</x:v>
      </x:c>
      <x:c r="B14" s="126" t="str">
        <x:v>/media/projects/01-preview.mp4</x:v>
      </x:c>
      <x:c r="C14" s="126" t="str">
        <x:v>/media/projects/01-full.mp4</x:v>
      </x:c>
      <x:c r="D14" s="126" t="str">
        <x:v>/media/projects/01-cover.webp</x:v>
      </x:c>
      <x:c r="E14" s="126" t="str">
        <x:v>填写网站路径，不填写磁盘盘符</x:v>
      </x:c>
      <x:c r="F14" s="126"/>
      <x:c r="G14" s="126"/>
      <x:c r="H14" s="126"/>
    </x:row>
  </x:sheetData>
  <x:mergeCells>
    <x:mergeCell ref="A1:H2"/>
  </x:mergeCells>
  <x:pageMargins left="0.7" right="0.7" top="0.75" bottom="0.75" header="0.3" footer="0.3"/>
</x:worksheet>
</file>